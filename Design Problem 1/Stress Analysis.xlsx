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balagar6_gatech_edu/Documents/Spring 2026 - ME 3180/Design Problem 1/"/>
    </mc:Choice>
  </mc:AlternateContent>
  <xr:revisionPtr revIDLastSave="175" documentId="11_F25DC773A252ABDACC10486CC91D7E185BDE58F3" xr6:coauthVersionLast="47" xr6:coauthVersionMax="47" xr10:uidLastSave="{E8D218CD-54BE-4282-BFDF-18483C65D63E}"/>
  <bookViews>
    <workbookView minimized="1" xWindow="4290" yWindow="42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8" i="1"/>
  <c r="D10" i="1"/>
  <c r="C10" i="1"/>
  <c r="D8" i="1"/>
  <c r="C8" i="1"/>
  <c r="G7" i="1"/>
  <c r="F7" i="1"/>
  <c r="Q10" i="1"/>
  <c r="D7" i="1"/>
  <c r="C7" i="1"/>
  <c r="Q4" i="1"/>
</calcChain>
</file>

<file path=xl/sharedStrings.xml><?xml version="1.0" encoding="utf-8"?>
<sst xmlns="http://schemas.openxmlformats.org/spreadsheetml/2006/main" count="31" uniqueCount="27">
  <si>
    <t>Pin Stress Analysis</t>
  </si>
  <si>
    <t>Selected Parameters</t>
  </si>
  <si>
    <t>Pin Diameter</t>
  </si>
  <si>
    <t>Pin Material</t>
  </si>
  <si>
    <t>Strut Material</t>
  </si>
  <si>
    <t>Strut Length (Z)</t>
  </si>
  <si>
    <t>Stret Width (X)</t>
  </si>
  <si>
    <t>316 SS</t>
  </si>
  <si>
    <t>Imperial</t>
  </si>
  <si>
    <t>Metric</t>
  </si>
  <si>
    <t>Strut Stress Analysis</t>
  </si>
  <si>
    <t>Max X [N]</t>
  </si>
  <si>
    <t>Max Y [N]</t>
  </si>
  <si>
    <t>Max Z [N]</t>
  </si>
  <si>
    <t>Pin Youngs Modulus</t>
  </si>
  <si>
    <t>Pin Yield Strength</t>
  </si>
  <si>
    <t>FOS</t>
  </si>
  <si>
    <t>Strut Wall Thickness (t)</t>
  </si>
  <si>
    <t>Bearing Stress [MPa]</t>
  </si>
  <si>
    <t>Note: Hertzian contact stress is not applicable as the holes are clearance fits</t>
  </si>
  <si>
    <t>Axial Stress - Z Neutral Axis [MPa]</t>
  </si>
  <si>
    <t>Worst Case Bending Stress [MPa]</t>
  </si>
  <si>
    <t>Double Shear Stress [MPa]</t>
  </si>
  <si>
    <t>https://www.mcmaster.com/products/clevis-pins/clevis-pins-3~~/material~stainless-steel-2/</t>
  </si>
  <si>
    <t>https://www.mcmaster.com/products/stock/stainless-steel-3~/shape~rectangular-tube/outside-width~2-000/outside-width~2/outside-height~2-000/outside-height~2/</t>
  </si>
  <si>
    <t>Note: Don’t need to compute any combined stress analysis and use additional stress theories due to Saint-Venant's principle</t>
  </si>
  <si>
    <t>304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</si>
</sst>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  <xf numFmtId="11" fontId="0" fillId="0" borderId="0" xfId="0" applyNumberFormat="1"/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cmaster.com/products/stock/stainless-steel-3~/shape~rectangular-tube/outside-width~2-000/outside-width~2/outside-height~2-000/outside-height~2/" TargetMode="External"/><Relationship Id="rId1" Type="http://schemas.openxmlformats.org/officeDocument/2006/relationships/hyperlink" Target="https://www.mcmaster.com/products/clevis-pins/clevis-pins-3~~/material~stainless-steel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F13" sqref="F13"/>
    </sheetView>
  </sheetViews>
  <sheetFormatPr defaultRowHeight="15" x14ac:dyDescent="0.25"/>
  <cols>
    <col min="1" max="1" width="10" bestFit="1" customWidth="1"/>
    <col min="2" max="2" width="31.5703125" bestFit="1" customWidth="1"/>
    <col min="3" max="3" width="9.85546875" bestFit="1" customWidth="1"/>
    <col min="4" max="4" width="8.42578125" bestFit="1" customWidth="1"/>
    <col min="5" max="5" width="19.5703125" bestFit="1" customWidth="1"/>
    <col min="6" max="6" width="11" bestFit="1" customWidth="1"/>
    <col min="7" max="7" width="8.5703125" bestFit="1" customWidth="1"/>
    <col min="8" max="8" width="11.28515625" bestFit="1" customWidth="1"/>
    <col min="9" max="9" width="11.140625" bestFit="1" customWidth="1"/>
    <col min="15" max="15" width="19.570312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7" x14ac:dyDescent="0.25">
      <c r="B2" s="5" t="s">
        <v>0</v>
      </c>
      <c r="E2" s="4" t="s">
        <v>10</v>
      </c>
      <c r="I2" s="10" t="s">
        <v>19</v>
      </c>
      <c r="J2" s="10"/>
      <c r="K2" s="10"/>
      <c r="L2" s="10"/>
      <c r="O2" s="4" t="s">
        <v>1</v>
      </c>
      <c r="P2" s="4" t="s">
        <v>8</v>
      </c>
      <c r="Q2" s="4" t="s">
        <v>9</v>
      </c>
    </row>
    <row r="3" spans="1:17" x14ac:dyDescent="0.25">
      <c r="B3" s="3" t="s">
        <v>11</v>
      </c>
      <c r="C3">
        <v>279.79000000000002</v>
      </c>
      <c r="I3" s="10"/>
      <c r="J3" s="10"/>
      <c r="K3" s="10"/>
      <c r="L3" s="10"/>
      <c r="O3" t="s">
        <v>3</v>
      </c>
      <c r="P3" s="2" t="s">
        <v>7</v>
      </c>
      <c r="Q3" s="2" t="s">
        <v>7</v>
      </c>
    </row>
    <row r="4" spans="1:17" x14ac:dyDescent="0.25">
      <c r="B4" s="3" t="s">
        <v>12</v>
      </c>
      <c r="C4">
        <v>545.84</v>
      </c>
      <c r="I4" s="10" t="s">
        <v>25</v>
      </c>
      <c r="J4" s="10"/>
      <c r="K4" s="10"/>
      <c r="L4" s="10"/>
      <c r="O4" t="s">
        <v>2</v>
      </c>
      <c r="P4" s="2">
        <v>0.1875</v>
      </c>
      <c r="Q4" s="2">
        <f>P4/39.37</f>
        <v>4.7625095250190506E-3</v>
      </c>
    </row>
    <row r="5" spans="1:17" ht="15" customHeight="1" x14ac:dyDescent="0.25">
      <c r="B5" s="3" t="s">
        <v>13</v>
      </c>
      <c r="C5">
        <v>274.17</v>
      </c>
      <c r="I5" s="10"/>
      <c r="J5" s="10"/>
      <c r="K5" s="10"/>
      <c r="L5" s="10"/>
      <c r="O5" s="9" t="s">
        <v>14</v>
      </c>
      <c r="P5" s="2"/>
      <c r="Q5" s="2"/>
    </row>
    <row r="6" spans="1:17" x14ac:dyDescent="0.25">
      <c r="D6" s="8" t="s">
        <v>16</v>
      </c>
      <c r="G6" s="8" t="s">
        <v>16</v>
      </c>
      <c r="I6" s="10"/>
      <c r="J6" s="10"/>
      <c r="K6" s="10"/>
      <c r="L6" s="10"/>
      <c r="O6" t="s">
        <v>15</v>
      </c>
      <c r="P6" s="7">
        <v>205</v>
      </c>
      <c r="Q6" s="2"/>
    </row>
    <row r="7" spans="1:17" x14ac:dyDescent="0.25">
      <c r="B7" s="3" t="s">
        <v>20</v>
      </c>
      <c r="C7">
        <f>C5/(Q4*(10^6))</f>
        <v>5.7568388799999995E-2</v>
      </c>
      <c r="D7" s="6">
        <f>P6/C7</f>
        <v>3560.9820645180193</v>
      </c>
      <c r="E7" s="3" t="s">
        <v>18</v>
      </c>
      <c r="F7">
        <f>C4/(Q4*Q10*(10^6))</f>
        <v>54.364678419020073</v>
      </c>
      <c r="G7" s="6">
        <f>P6/F7</f>
        <v>3.7708307298342914</v>
      </c>
      <c r="I7" s="10"/>
      <c r="J7" s="10"/>
      <c r="K7" s="10"/>
      <c r="L7" s="10"/>
      <c r="O7" t="s">
        <v>4</v>
      </c>
      <c r="P7" s="2" t="s">
        <v>26</v>
      </c>
      <c r="Q7" s="2" t="s">
        <v>26</v>
      </c>
    </row>
    <row r="8" spans="1:17" x14ac:dyDescent="0.25">
      <c r="B8" s="3" t="s">
        <v>18</v>
      </c>
      <c r="C8">
        <f>C4/(Q4*Q10*(10^6))</f>
        <v>54.364678419020073</v>
      </c>
      <c r="D8" s="6">
        <f>P6/C8</f>
        <v>3.7708307298342914</v>
      </c>
      <c r="O8" t="s">
        <v>5</v>
      </c>
      <c r="P8" s="2">
        <v>2</v>
      </c>
      <c r="Q8" s="2">
        <f>P8*25.4</f>
        <v>50.8</v>
      </c>
    </row>
    <row r="9" spans="1:17" x14ac:dyDescent="0.25">
      <c r="B9" s="3" t="s">
        <v>21</v>
      </c>
      <c r="I9" s="11" t="s">
        <v>23</v>
      </c>
      <c r="O9" t="s">
        <v>6</v>
      </c>
      <c r="P9" s="2">
        <v>2</v>
      </c>
      <c r="Q9" s="2">
        <f>P9*25.4</f>
        <v>50.8</v>
      </c>
    </row>
    <row r="10" spans="1:17" x14ac:dyDescent="0.25">
      <c r="B10" s="3" t="s">
        <v>22</v>
      </c>
      <c r="C10">
        <f>(C4/(2*PI()*(Q4/2)^2))/(10^6)</f>
        <v>15.320529192512669</v>
      </c>
      <c r="D10" s="6">
        <f>P6/C10</f>
        <v>13.380738838981229</v>
      </c>
      <c r="I10" s="11" t="s">
        <v>24</v>
      </c>
      <c r="O10" t="s">
        <v>17</v>
      </c>
      <c r="P10">
        <v>8.3000000000000004E-2</v>
      </c>
      <c r="Q10">
        <f>P10/39.37</f>
        <v>2.1082042164084331E-3</v>
      </c>
    </row>
  </sheetData>
  <mergeCells count="2">
    <mergeCell ref="I2:L3"/>
    <mergeCell ref="I4:L7"/>
  </mergeCells>
  <hyperlinks>
    <hyperlink ref="I9" r:id="rId1" xr:uid="{A2532AE2-2FE6-4638-9E02-AB39512677A1}"/>
    <hyperlink ref="I10" r:id="rId2" xr:uid="{A030CA02-4222-4306-83CF-F146A63F0AB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Alagar, Balaji F</dc:creator>
  <cp:lastModifiedBy>Alagar, Balaji F</cp:lastModifiedBy>
  <dcterms:created xsi:type="dcterms:W3CDTF">2015-06-05T18:17:20Z</dcterms:created>
  <dcterms:modified xsi:type="dcterms:W3CDTF">2026-02-22T16:38:49Z</dcterms:modified>
</cp:coreProperties>
</file>